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wsl.localhost\Ubuntu-24.04\home\minseo\projects\compass-gradient_v2\results_synthetic_kirsch_statevector_binary_otsu_magnorm\"/>
    </mc:Choice>
  </mc:AlternateContent>
  <xr:revisionPtr revIDLastSave="0" documentId="13_ncr:1_{C466DE54-0A68-4B03-84F8-1D2D9A35A0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  <sheet name="raw" sheetId="2" r:id="rId2"/>
  </sheets>
  <calcPr calcId="181029"/>
</workbook>
</file>

<file path=xl/calcChain.xml><?xml version="1.0" encoding="utf-8"?>
<calcChain xmlns="http://schemas.openxmlformats.org/spreadsheetml/2006/main">
  <c r="O4" i="1" l="1"/>
</calcChain>
</file>

<file path=xl/sharedStrings.xml><?xml version="1.0" encoding="utf-8"?>
<sst xmlns="http://schemas.openxmlformats.org/spreadsheetml/2006/main" count="80" uniqueCount="48">
  <si>
    <t>run_id</t>
  </si>
  <si>
    <t>image</t>
  </si>
  <si>
    <t>operator</t>
  </si>
  <si>
    <t>backend</t>
  </si>
  <si>
    <t>remove_dc</t>
  </si>
  <si>
    <t>detection</t>
  </si>
  <si>
    <t>threshold</t>
  </si>
  <si>
    <t>noise_snr</t>
  </si>
  <si>
    <t>shots</t>
  </si>
  <si>
    <t>n_seeds</t>
  </si>
  <si>
    <t>dir_acc_pct_mean</t>
  </si>
  <si>
    <t>dir_acc_pct_std</t>
  </si>
  <si>
    <t>cos_sim_median_mean</t>
  </si>
  <si>
    <t>cos_sim_median_std</t>
  </si>
  <si>
    <t>mag_mse_mean</t>
  </si>
  <si>
    <t>mag_mse_std</t>
  </si>
  <si>
    <t>mag_psnr_mean</t>
  </si>
  <si>
    <t>mag_psnr_std</t>
  </si>
  <si>
    <t>accuracy_pct_mean</t>
  </si>
  <si>
    <t>accuracy_pct_std</t>
  </si>
  <si>
    <t>f1_score_mean</t>
  </si>
  <si>
    <t>f1_score_std</t>
  </si>
  <si>
    <t>post_selection_mean_mean</t>
  </si>
  <si>
    <t>post_selection_mean_std</t>
  </si>
  <si>
    <t>classical_accuracy_pct</t>
  </si>
  <si>
    <t>classical_f1_score</t>
  </si>
  <si>
    <t>classical_mag_mse</t>
  </si>
  <si>
    <t>classical_mag_psnr</t>
  </si>
  <si>
    <t>20261006_142843</t>
  </si>
  <si>
    <t>synthetic</t>
  </si>
  <si>
    <t>kirsch</t>
  </si>
  <si>
    <t>statevector</t>
  </si>
  <si>
    <t>binary</t>
  </si>
  <si>
    <t>otsu</t>
  </si>
  <si>
    <t>inf</t>
  </si>
  <si>
    <t>20261006_143229</t>
  </si>
  <si>
    <t>threshold_method</t>
  </si>
  <si>
    <t>threshold_value</t>
  </si>
  <si>
    <t>edge_pixels</t>
  </si>
  <si>
    <t>seed</t>
  </si>
  <si>
    <t>runtime_s</t>
  </si>
  <si>
    <t>post_selection_mean</t>
  </si>
  <si>
    <t>dir_acc_pct</t>
  </si>
  <si>
    <t>cos_sim_median</t>
  </si>
  <si>
    <t>mag_mse</t>
  </si>
  <si>
    <t>mag_psnr</t>
  </si>
  <si>
    <t>accuracy_pct</t>
  </si>
  <si>
    <t>f1_score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</si>
</sst>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"/>
  <sheetViews>
    <sheetView tabSelected="1" workbookViewId="0">
      <selection activeCell="M20" sqref="M20"/>
    </sheetView>
  </sheetViews>
  <sheetFormatPr defaultRowHeight="16.5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 t="s">
        <v>28</v>
      </c>
      <c r="B2" t="s">
        <v>29</v>
      </c>
      <c r="C2" t="s">
        <v>30</v>
      </c>
      <c r="D2" t="s">
        <v>31</v>
      </c>
      <c r="E2" t="b">
        <v>1</v>
      </c>
      <c r="F2" t="s">
        <v>32</v>
      </c>
      <c r="G2" t="s">
        <v>33</v>
      </c>
      <c r="H2" t="s">
        <v>34</v>
      </c>
      <c r="I2">
        <v>1024</v>
      </c>
      <c r="J2">
        <v>1</v>
      </c>
      <c r="K2">
        <v>95.661157024793383</v>
      </c>
      <c r="L2">
        <v>0</v>
      </c>
      <c r="M2">
        <v>1</v>
      </c>
      <c r="N2">
        <v>0</v>
      </c>
      <c r="O2">
        <v>4.1322314049586778E-2</v>
      </c>
      <c r="P2">
        <v>0</v>
      </c>
      <c r="Q2">
        <v>13.838153659804309</v>
      </c>
      <c r="R2">
        <v>0</v>
      </c>
      <c r="S2">
        <v>95.867768595041326</v>
      </c>
      <c r="T2">
        <v>0</v>
      </c>
      <c r="U2">
        <v>0.96598639455782309</v>
      </c>
      <c r="V2">
        <v>0</v>
      </c>
      <c r="W2">
        <v>0.72968038752249509</v>
      </c>
      <c r="X2">
        <v>0</v>
      </c>
      <c r="Y2">
        <v>95.867768595041326</v>
      </c>
      <c r="Z2">
        <v>0.96598639455782309</v>
      </c>
      <c r="AA2">
        <v>4.1322314049586778E-2</v>
      </c>
      <c r="AB2">
        <v>13.838153659804309</v>
      </c>
    </row>
    <row r="3" spans="1:28" x14ac:dyDescent="0.3">
      <c r="A3" t="s">
        <v>35</v>
      </c>
      <c r="B3" t="s">
        <v>29</v>
      </c>
      <c r="C3" t="s">
        <v>30</v>
      </c>
      <c r="D3" t="s">
        <v>31</v>
      </c>
      <c r="E3" t="b">
        <v>1</v>
      </c>
      <c r="F3" t="s">
        <v>32</v>
      </c>
      <c r="G3" t="s">
        <v>33</v>
      </c>
      <c r="H3" t="s">
        <v>34</v>
      </c>
      <c r="I3">
        <v>1024</v>
      </c>
      <c r="J3">
        <v>1</v>
      </c>
      <c r="K3">
        <v>95.661157024793383</v>
      </c>
      <c r="L3">
        <v>0</v>
      </c>
      <c r="M3">
        <v>1</v>
      </c>
      <c r="N3">
        <v>0</v>
      </c>
      <c r="O3">
        <v>4.1322314049586778E-2</v>
      </c>
      <c r="P3">
        <v>0</v>
      </c>
      <c r="Q3">
        <v>13.838153659804309</v>
      </c>
      <c r="R3">
        <v>0</v>
      </c>
      <c r="S3">
        <v>95.867768595041326</v>
      </c>
      <c r="T3">
        <v>0</v>
      </c>
      <c r="U3">
        <v>0.96598639455782309</v>
      </c>
      <c r="V3">
        <v>0</v>
      </c>
      <c r="W3">
        <v>0.72968038752249509</v>
      </c>
      <c r="X3">
        <v>0</v>
      </c>
      <c r="Y3">
        <v>95.867768595041326</v>
      </c>
      <c r="Z3">
        <v>0.96598639455782309</v>
      </c>
      <c r="AA3">
        <v>4.1322314049586778E-2</v>
      </c>
      <c r="AB3">
        <v>13.838153659804309</v>
      </c>
    </row>
    <row r="4" spans="1:28" x14ac:dyDescent="0.3">
      <c r="O4">
        <f>O3*255*255</f>
        <v>2686.9834710743803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"/>
  <sheetViews>
    <sheetView workbookViewId="0"/>
  </sheetViews>
  <sheetFormatPr defaultRowHeight="16.5" x14ac:dyDescent="0.3"/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36</v>
      </c>
      <c r="G1" t="s">
        <v>37</v>
      </c>
      <c r="H1" t="s">
        <v>38</v>
      </c>
      <c r="I1" t="s">
        <v>4</v>
      </c>
      <c r="J1" t="s">
        <v>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  <c r="P1" t="s">
        <v>44</v>
      </c>
      <c r="Q1" t="s">
        <v>45</v>
      </c>
      <c r="R1" t="s">
        <v>46</v>
      </c>
      <c r="S1" t="s">
        <v>47</v>
      </c>
      <c r="T1" t="s">
        <v>7</v>
      </c>
      <c r="U1" t="s">
        <v>24</v>
      </c>
      <c r="V1" t="s">
        <v>25</v>
      </c>
      <c r="W1" t="s">
        <v>26</v>
      </c>
      <c r="X1" t="s">
        <v>27</v>
      </c>
    </row>
    <row r="2" spans="1:24" x14ac:dyDescent="0.3">
      <c r="A2" t="s">
        <v>28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>
        <v>1331.9755349731599</v>
      </c>
      <c r="H2">
        <v>292</v>
      </c>
      <c r="I2" t="b">
        <v>1</v>
      </c>
      <c r="J2">
        <v>1024</v>
      </c>
      <c r="K2">
        <v>0</v>
      </c>
      <c r="L2">
        <v>0.02</v>
      </c>
      <c r="M2">
        <v>0.72968038752249509</v>
      </c>
      <c r="N2">
        <v>95.661157024793383</v>
      </c>
      <c r="O2">
        <v>1</v>
      </c>
      <c r="P2">
        <v>4.1322314049586778E-2</v>
      </c>
      <c r="Q2">
        <v>13.838153659804309</v>
      </c>
      <c r="R2">
        <v>95.867768595041326</v>
      </c>
      <c r="S2">
        <v>0.96598639455782309</v>
      </c>
      <c r="T2" t="s">
        <v>34</v>
      </c>
      <c r="U2">
        <v>95.867768595041326</v>
      </c>
      <c r="V2">
        <v>0.96598639455782309</v>
      </c>
      <c r="W2">
        <v>4.1322314049586778E-2</v>
      </c>
      <c r="X2">
        <v>13.838153659804309</v>
      </c>
    </row>
    <row r="3" spans="1:24" x14ac:dyDescent="0.3">
      <c r="A3" t="s">
        <v>35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>
        <v>1331.9755349731599</v>
      </c>
      <c r="H3">
        <v>292</v>
      </c>
      <c r="I3" t="b">
        <v>1</v>
      </c>
      <c r="J3">
        <v>1024</v>
      </c>
      <c r="K3">
        <v>0</v>
      </c>
      <c r="L3">
        <v>0.05</v>
      </c>
      <c r="M3">
        <v>0.72968038752249509</v>
      </c>
      <c r="N3">
        <v>95.661157024793383</v>
      </c>
      <c r="O3">
        <v>1</v>
      </c>
      <c r="P3">
        <v>4.1322314049586778E-2</v>
      </c>
      <c r="Q3">
        <v>13.838153659804309</v>
      </c>
      <c r="R3">
        <v>95.867768595041326</v>
      </c>
      <c r="S3">
        <v>0.96598639455782309</v>
      </c>
      <c r="T3" t="s">
        <v>34</v>
      </c>
      <c r="U3">
        <v>95.867768595041326</v>
      </c>
      <c r="V3">
        <v>0.96598639455782309</v>
      </c>
      <c r="W3">
        <v>4.1322314049586778E-2</v>
      </c>
      <c r="X3">
        <v>13.838153659804309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summary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민서 성</cp:lastModifiedBy>
  <dcterms:created xsi:type="dcterms:W3CDTF">2026-10-06T05:32:30Z</dcterms:created>
  <dcterms:modified xsi:type="dcterms:W3CDTF">2026-10-06T05:36:09Z</dcterms:modified>
</cp:coreProperties>
</file>